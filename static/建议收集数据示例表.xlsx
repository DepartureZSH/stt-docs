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sh/Desktop/"/>
    </mc:Choice>
  </mc:AlternateContent>
  <xr:revisionPtr revIDLastSave="0" documentId="13_ncr:1_{83DA6DDD-788A-5341-ACAB-4C9111B7AAAA}" xr6:coauthVersionLast="47" xr6:coauthVersionMax="47" xr10:uidLastSave="{00000000-0000-0000-0000-000000000000}"/>
  <bookViews>
    <workbookView xWindow="0" yWindow="0" windowWidth="25600" windowHeight="16000" activeTab="7" xr2:uid="{032E9BA9-4C28-F84A-BC84-46F3B3CF1255}"/>
  </bookViews>
  <sheets>
    <sheet name="基础数据" sheetId="1" r:id="rId1"/>
    <sheet name="课表" sheetId="2" r:id="rId2"/>
    <sheet name="教师清单" sheetId="3" r:id="rId3"/>
    <sheet name="班级清单" sheetId="4" r:id="rId4"/>
    <sheet name="科目清单" sheetId="5" r:id="rId5"/>
    <sheet name="教室清单" sheetId="6" r:id="rId6"/>
    <sheet name="课程计划" sheetId="7" r:id="rId7"/>
    <sheet name="约束配置" sheetId="8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 a="1"/>
  <c r="H25" i="2" s="1"/>
  <c r="G25" i="2" a="1"/>
  <c r="G25" i="2" s="1"/>
  <c r="F25" i="2" a="1"/>
  <c r="F25" i="2" s="1"/>
  <c r="E25" i="2" a="1"/>
  <c r="E25" i="2" s="1"/>
  <c r="D25" i="2" a="1"/>
  <c r="D25" i="2" s="1"/>
  <c r="C25" i="2" a="1"/>
  <c r="C25" i="2" s="1"/>
  <c r="B25" i="2" a="1"/>
  <c r="B25" i="2" s="1"/>
  <c r="C7" i="2" a="1"/>
  <c r="C7" i="2" s="1"/>
  <c r="D7" i="2" a="1"/>
  <c r="D7" i="2" s="1"/>
  <c r="E7" i="2" a="1"/>
  <c r="E7" i="2" s="1"/>
  <c r="F7" i="2" a="1"/>
  <c r="F7" i="2" s="1"/>
  <c r="G7" i="2" a="1"/>
  <c r="G7" i="2" s="1"/>
  <c r="H7" i="2" a="1"/>
  <c r="H7" i="2" s="1"/>
  <c r="B7" i="2" a="1"/>
  <c r="B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<sst xmlns="http://schemas.openxmlformats.org/spreadsheetml/2006/main" count="359" uniqueCount="121">
  <si>
    <t>学期名称</t>
    <phoneticPr fontId="2" type="noConversion"/>
  </si>
  <si>
    <t>总周数</t>
    <phoneticPr fontId="2" type="noConversion"/>
  </si>
  <si>
    <t>类目</t>
    <phoneticPr fontId="2" type="noConversion"/>
  </si>
  <si>
    <t>示例</t>
    <phoneticPr fontId="2" type="noConversion"/>
  </si>
  <si>
    <t>备注</t>
    <phoneticPr fontId="2" type="noConversion"/>
  </si>
  <si>
    <t>2026秋季学期</t>
    <phoneticPr fontId="2" type="noConversion"/>
  </si>
  <si>
    <t>周一</t>
    <phoneticPr fontId="2" type="noConversion"/>
  </si>
  <si>
    <t>周二</t>
    <phoneticPr fontId="2" type="noConversion"/>
  </si>
  <si>
    <t>周三</t>
    <phoneticPr fontId="2" type="noConversion"/>
  </si>
  <si>
    <t>周四</t>
    <phoneticPr fontId="2" type="noConversion"/>
  </si>
  <si>
    <t>周五</t>
    <phoneticPr fontId="2" type="noConversion"/>
  </si>
  <si>
    <t>周六</t>
    <phoneticPr fontId="2" type="noConversion"/>
  </si>
  <si>
    <t>周日</t>
    <phoneticPr fontId="2" type="noConversion"/>
  </si>
  <si>
    <t>是否启用</t>
    <phoneticPr fontId="2" type="noConversion"/>
  </si>
  <si>
    <t>启用</t>
    <phoneticPr fontId="2" type="noConversion"/>
  </si>
  <si>
    <t>不启用</t>
    <phoneticPr fontId="2" type="noConversion"/>
  </si>
  <si>
    <t>注释</t>
    <phoneticPr fontId="2" type="noConversion"/>
  </si>
  <si>
    <t>填"启用"/“不启用”</t>
    <phoneticPr fontId="2" type="noConversion"/>
  </si>
  <si>
    <t>时间</t>
    <phoneticPr fontId="2" type="noConversion"/>
  </si>
  <si>
    <t>08:30——09:10</t>
    <phoneticPr fontId="2" type="noConversion"/>
  </si>
  <si>
    <t>09:20——10:00</t>
    <phoneticPr fontId="2" type="noConversion"/>
  </si>
  <si>
    <t>10:00——10:40</t>
  </si>
  <si>
    <t>眼保健操、大课间活动</t>
    <phoneticPr fontId="2" type="noConversion"/>
  </si>
  <si>
    <t>17:40——18:00</t>
    <phoneticPr fontId="2" type="noConversion"/>
  </si>
  <si>
    <t>16:50——17:30</t>
    <phoneticPr fontId="2" type="noConversion"/>
  </si>
  <si>
    <t>16:00——16:40</t>
    <phoneticPr fontId="2" type="noConversion"/>
  </si>
  <si>
    <t>10:40——11:20</t>
    <phoneticPr fontId="2" type="noConversion"/>
  </si>
  <si>
    <t>11:30——12:10</t>
    <phoneticPr fontId="2" type="noConversion"/>
  </si>
  <si>
    <t>12:10——14:00</t>
    <phoneticPr fontId="2" type="noConversion"/>
  </si>
  <si>
    <t>14:10——14:50</t>
    <phoneticPr fontId="2" type="noConversion"/>
  </si>
  <si>
    <t>14:50——15:10</t>
    <phoneticPr fontId="2" type="noConversion"/>
  </si>
  <si>
    <t>15:10——15:50</t>
    <phoneticPr fontId="2" type="noConversion"/>
  </si>
  <si>
    <t>午餐、午觉</t>
    <phoneticPr fontId="2" type="noConversion"/>
  </si>
  <si>
    <t>眼保健操</t>
    <phoneticPr fontId="2" type="noConversion"/>
  </si>
  <si>
    <t>放学 静校</t>
    <phoneticPr fontId="2" type="noConversion"/>
  </si>
  <si>
    <t>当前填写的内容均为示意，请按照实际情况收集，填写上课日，每天节次和时间信息</t>
    <phoneticPr fontId="2" type="noConversion"/>
  </si>
  <si>
    <t>姓名</t>
    <phoneticPr fontId="2" type="noConversion"/>
  </si>
  <si>
    <t>标签</t>
    <phoneticPr fontId="2" type="noConversion"/>
  </si>
  <si>
    <t>张三</t>
    <phoneticPr fontId="2" type="noConversion"/>
  </si>
  <si>
    <t>李四</t>
    <phoneticPr fontId="2" type="noConversion"/>
  </si>
  <si>
    <t>班级</t>
    <phoneticPr fontId="2" type="noConversion"/>
  </si>
  <si>
    <t>人数</t>
    <phoneticPr fontId="2" type="noConversion"/>
  </si>
  <si>
    <t>一年级1班</t>
    <phoneticPr fontId="2" type="noConversion"/>
  </si>
  <si>
    <t>科目</t>
    <phoneticPr fontId="2" type="noConversion"/>
  </si>
  <si>
    <t>默认时长（分钟）</t>
    <phoneticPr fontId="2" type="noConversion"/>
  </si>
  <si>
    <t>数学</t>
    <phoneticPr fontId="2" type="noConversion"/>
  </si>
  <si>
    <t>语文</t>
    <phoneticPr fontId="2" type="noConversion"/>
  </si>
  <si>
    <t>教室</t>
    <phoneticPr fontId="2" type="noConversion"/>
  </si>
  <si>
    <t>类型</t>
    <phoneticPr fontId="2" type="noConversion"/>
  </si>
  <si>
    <t>容量</t>
    <phoneticPr fontId="2" type="noConversion"/>
  </si>
  <si>
    <t>·</t>
    <phoneticPr fontId="2" type="noConversion"/>
  </si>
  <si>
    <t>机房</t>
    <phoneticPr fontId="2" type="noConversion"/>
  </si>
  <si>
    <t>普通教室</t>
    <phoneticPr fontId="2" type="noConversion"/>
  </si>
  <si>
    <t>实验室</t>
    <phoneticPr fontId="2" type="noConversion"/>
  </si>
  <si>
    <t>科学实验室</t>
    <phoneticPr fontId="2" type="noConversion"/>
  </si>
  <si>
    <t>不可用时间</t>
    <phoneticPr fontId="2" type="noConversion"/>
  </si>
  <si>
    <t>全学期-周1至周5-最后一节课</t>
    <phoneticPr fontId="2" type="noConversion"/>
  </si>
  <si>
    <t>无</t>
    <phoneticPr fontId="2" type="noConversion"/>
  </si>
  <si>
    <t>教师</t>
    <phoneticPr fontId="2" type="noConversion"/>
  </si>
  <si>
    <t>一年级1班教室</t>
    <phoneticPr fontId="2" type="noConversion"/>
  </si>
  <si>
    <t>科学</t>
    <phoneticPr fontId="2" type="noConversion"/>
  </si>
  <si>
    <t>体育</t>
    <phoneticPr fontId="2" type="noConversion"/>
  </si>
  <si>
    <t>赵五</t>
    <phoneticPr fontId="2" type="noConversion"/>
  </si>
  <si>
    <t>不使用教室</t>
    <phoneticPr fontId="2" type="noConversion"/>
  </si>
  <si>
    <t>课次</t>
    <phoneticPr fontId="2" type="noConversion"/>
  </si>
  <si>
    <t>默认教室</t>
    <phoneticPr fontId="2" type="noConversion"/>
  </si>
  <si>
    <t>课次教室</t>
    <phoneticPr fontId="2" type="noConversion"/>
  </si>
  <si>
    <t>默认</t>
    <phoneticPr fontId="2" type="noConversion"/>
  </si>
  <si>
    <t>期望上课时间（优先安排）</t>
    <phoneticPr fontId="2" type="noConversion"/>
  </si>
  <si>
    <t>期望上课时间（可接受）</t>
    <phoneticPr fontId="2" type="noConversion"/>
  </si>
  <si>
    <t>期望上课时间（尽量避免）</t>
    <phoneticPr fontId="2" type="noConversion"/>
  </si>
  <si>
    <t>期望上课时间（兜底选择）</t>
    <phoneticPr fontId="2" type="noConversion"/>
  </si>
  <si>
    <t>全学期-周1至周5-上午</t>
  </si>
  <si>
    <t>全学期-周1至周5-上午</t>
    <phoneticPr fontId="2" type="noConversion"/>
  </si>
  <si>
    <t>全学期-周1至周5-下午</t>
    <phoneticPr fontId="2" type="noConversion"/>
  </si>
  <si>
    <t>约束名</t>
    <phoneticPr fontId="2" type="noConversion"/>
  </si>
  <si>
    <t>强度</t>
    <phoneticPr fontId="2" type="noConversion"/>
  </si>
  <si>
    <t>涉及课次</t>
    <phoneticPr fontId="2" type="noConversion"/>
  </si>
  <si>
    <t>同教室不冲突</t>
    <phoneticPr fontId="2" type="noConversion"/>
  </si>
  <si>
    <t>同教师不重叠</t>
    <phoneticPr fontId="2" type="noConversion"/>
  </si>
  <si>
    <t>同班级不重叠</t>
    <phoneticPr fontId="2" type="noConversion"/>
  </si>
  <si>
    <t>硬约束</t>
    <phoneticPr fontId="2" type="noConversion"/>
  </si>
  <si>
    <t>一年级1班·语文·张三·语文（第1课次）</t>
    <phoneticPr fontId="2" type="noConversion"/>
  </si>
  <si>
    <t>一年级1班·语文·张三·语文（第2课次）</t>
  </si>
  <si>
    <t>一年级1班·语文·张三·语文（第3课次）</t>
  </si>
  <si>
    <t>一年级1班·语文·张三·语文（第4课次）</t>
  </si>
  <si>
    <t>一年级1班·数学·李四·数学（第1课次）</t>
    <phoneticPr fontId="2" type="noConversion"/>
  </si>
  <si>
    <t>一年级1班·数学·李四·数学（第2课次）</t>
  </si>
  <si>
    <t>一年级1班·数学·李四·数学（第3课次）</t>
  </si>
  <si>
    <t>一年级1班·数学·李四·数学（第4课次）</t>
  </si>
  <si>
    <t>一年级1班·科学·赵五·科学（第1课次）</t>
    <phoneticPr fontId="2" type="noConversion"/>
  </si>
  <si>
    <t>一年级1班·科学·赵五·科学（第2课次）</t>
    <phoneticPr fontId="2" type="noConversion"/>
  </si>
  <si>
    <t>一年级1班·数学·李四·数学（第4课次）</t>
    <phoneticPr fontId="2" type="noConversion"/>
  </si>
  <si>
    <t>一年级1班·体育·李四·体育（第1课次）</t>
    <phoneticPr fontId="2" type="noConversion"/>
  </si>
  <si>
    <t>一年级1班·体育·李四·体育（第2课次）</t>
  </si>
  <si>
    <t>一年级1班·体育·李四·体育（第3课次）</t>
  </si>
  <si>
    <t>自动生成约束</t>
    <phoneticPr fontId="2" type="noConversion"/>
  </si>
  <si>
    <t>以下约束由系统自动生成，用户不需要操作</t>
    <phoneticPr fontId="2" type="noConversion"/>
  </si>
  <si>
    <t>固定时段模版</t>
    <phoneticPr fontId="2" type="noConversion"/>
  </si>
  <si>
    <t>备注：一周每天的时间段安排相同</t>
    <phoneticPr fontId="2" type="noConversion"/>
  </si>
  <si>
    <t>天南小学</t>
    <phoneticPr fontId="2" type="noConversion"/>
  </si>
  <si>
    <t>不固定时段模版</t>
    <phoneticPr fontId="2" type="noConversion"/>
  </si>
  <si>
    <t>备注：一周每天的时间段安排可能不同</t>
    <phoneticPr fontId="2" type="noConversion"/>
  </si>
  <si>
    <t>是否启用</t>
  </si>
  <si>
    <t>一年级组；语文组</t>
    <phoneticPr fontId="2" type="noConversion"/>
  </si>
  <si>
    <t>一年级组；数学组；体育组</t>
    <phoneticPr fontId="2" type="noConversion"/>
  </si>
  <si>
    <t>一年级组；科学组</t>
    <phoneticPr fontId="2" type="noConversion"/>
  </si>
  <si>
    <t>升旗仪式</t>
    <phoneticPr fontId="2" type="noConversion"/>
  </si>
  <si>
    <t>晨读</t>
    <phoneticPr fontId="2" type="noConversion"/>
  </si>
  <si>
    <t>信息科技</t>
    <phoneticPr fontId="2" type="noConversion"/>
  </si>
  <si>
    <t>音乐</t>
    <phoneticPr fontId="2" type="noConversion"/>
  </si>
  <si>
    <t>英语</t>
    <phoneticPr fontId="2" type="noConversion"/>
  </si>
  <si>
    <t>劳动</t>
    <phoneticPr fontId="2" type="noConversion"/>
  </si>
  <si>
    <t>课后服务</t>
  </si>
  <si>
    <t>课后服务</t>
    <phoneticPr fontId="2" type="noConversion"/>
  </si>
  <si>
    <t>08:20——08:30</t>
    <phoneticPr fontId="2" type="noConversion"/>
  </si>
  <si>
    <t>08:00——08:20</t>
    <phoneticPr fontId="2" type="noConversion"/>
  </si>
  <si>
    <t>自定义约束</t>
    <phoneticPr fontId="2" type="noConversion"/>
  </si>
  <si>
    <t>课程连续排课</t>
    <phoneticPr fontId="2" type="noConversion"/>
  </si>
  <si>
    <t>课程分散到不同天</t>
    <phoneticPr fontId="2" type="noConversion"/>
  </si>
  <si>
    <t>以下约束请根据实际填写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</si>
</sst>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7F7F7F"/>
      <name val="等线"/>
      <family val="4"/>
      <charset val="134"/>
      <scheme val="minor"/>
    </font>
    <font>
      <b/>
      <sz val="12"/>
      <color theme="0"/>
      <name val="等线"/>
      <family val="4"/>
      <charset val="134"/>
      <scheme val="minor"/>
    </font>
    <font>
      <b/>
      <sz val="12"/>
      <color rgb="FFFFFFFF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rgb="FF7F7F7F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4472C4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4472C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/>
    </xf>
    <xf numFmtId="0" fontId="3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0" fillId="2" borderId="15" xfId="0" applyFill="1" applyBorder="1">
      <alignment vertical="center"/>
    </xf>
    <xf numFmtId="0" fontId="0" fillId="2" borderId="13" xfId="0" applyFill="1" applyBorder="1">
      <alignment vertical="center"/>
    </xf>
    <xf numFmtId="0" fontId="0" fillId="0" borderId="12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4" borderId="0" xfId="2" applyAlignment="1">
      <alignment horizontal="center" vertical="center"/>
    </xf>
    <xf numFmtId="0" fontId="7" fillId="4" borderId="5" xfId="2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</cellXfs>
  <cellStyles count="3">
    <cellStyle name="40% - 着色 3" xfId="2" builtinId="39"/>
    <cellStyle name="常规" xfId="0" builtinId="0"/>
    <cellStyle name="解释性文本" xfId="1" builtinId="53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7F7F7F"/>
        <name val="等线"/>
        <family val="4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7F7F7F"/>
        <name val="等线"/>
        <family val="4"/>
        <charset val="134"/>
        <scheme val="minor"/>
      </font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472C4"/>
        </top>
        <bottom/>
      </border>
    </dxf>
    <dxf>
      <font>
        <i val="0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472C4"/>
        </top>
        <bottom/>
      </border>
    </dxf>
    <dxf>
      <font>
        <i val="0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n">
          <color rgb="FF4472C4"/>
        </left>
        <right style="thin">
          <color rgb="FF4472C4"/>
        </right>
        <top style="thin">
          <color rgb="FF4472C4"/>
        </top>
        <bottom style="thin">
          <color rgb="FF4472C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等线"/>
        <family val="4"/>
        <charset val="134"/>
        <scheme val="minor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outline="0">
        <right style="double">
          <color rgb="FF3F3F3F"/>
        </right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755920-4A9A-FC42-91D8-56D6F012A0D0}" name="表1" displayName="表1" ref="A1:B3" totalsRowShown="0" headerRowDxfId="27">
  <autoFilter ref="A1:B3" xr:uid="{70755920-4A9A-FC42-91D8-56D6F012A0D0}"/>
  <tableColumns count="2">
    <tableColumn id="1" xr3:uid="{AF92452B-E85A-6D43-A838-404B3EC2EA29}" name="类目" dataDxfId="26"/>
    <tableColumn id="2" xr3:uid="{FBFBF6FF-2CC3-A34D-AF62-23F6F418FC56}" name="示例" dataCellStyle="解释性文本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F966A3-458F-454E-9387-B786A4A893E1}" name="表2" displayName="表2" ref="A1:I2" totalsRowShown="0" headerRowDxfId="25" dataDxfId="24">
  <autoFilter ref="A1:I2" xr:uid="{3CF966A3-458F-454E-9387-B786A4A893E1}"/>
  <tableColumns count="9">
    <tableColumn id="1" xr3:uid="{78FDF413-0044-C041-BEA9-4F2B4F05BCFF}" name="类目" dataDxfId="23"/>
    <tableColumn id="9" xr3:uid="{E45082F0-EC88-AE4B-A4ED-2F9D34911A33}" name="注释" dataDxfId="22"/>
    <tableColumn id="2" xr3:uid="{0CA1DE7F-78F1-0341-98F1-A05601BBFBFB}" name="周一" dataDxfId="21"/>
    <tableColumn id="3" xr3:uid="{DC896D50-C132-5149-8FE9-649A15D0B6D9}" name="周二" dataDxfId="20"/>
    <tableColumn id="4" xr3:uid="{B4BA70D0-3106-0143-A72E-B26FFEC7390D}" name="周三" dataDxfId="19"/>
    <tableColumn id="5" xr3:uid="{6E407017-B7F5-0749-AE8B-AC1FC24C5A67}" name="周四" dataDxfId="18"/>
    <tableColumn id="6" xr3:uid="{ADBC6A37-DC4E-5743-921D-39E1BB945CE6}" name="周五" dataDxfId="17"/>
    <tableColumn id="7" xr3:uid="{6662BD62-89A5-EE4D-9CAD-A214ED93F122}" name="周六" dataDxfId="16"/>
    <tableColumn id="8" xr3:uid="{6C3AF6B7-E8D5-1D4F-A238-9B7F68E49248}" name="周日" dataDxfId="1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7BB864-23C7-3842-B1D4-2B7F6405BAA8}" name="表4" displayName="表4" ref="A1:B4" totalsRowShown="0" headerRowDxfId="14">
  <autoFilter ref="A1:B4" xr:uid="{0B7BB864-23C7-3842-B1D4-2B7F6405BAA8}"/>
  <tableColumns count="2">
    <tableColumn id="1" xr3:uid="{FDA38E12-3D64-934D-9C94-DD0F0C13AF44}" name="姓名" dataDxfId="6"/>
    <tableColumn id="2" xr3:uid="{854FC6F3-1F90-6741-B36D-31B330CA35FC}" name="标签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158B2E-7EDA-C849-BC4D-5E780037C888}" name="表5" displayName="表5" ref="A1:B2" totalsRowShown="0" headerRowDxfId="13" dataDxfId="9" tableBorderDxfId="12" dataCellStyle="解释性文本">
  <autoFilter ref="A1:B2" xr:uid="{39158B2E-7EDA-C849-BC4D-5E780037C888}"/>
  <tableColumns count="2">
    <tableColumn id="1" xr3:uid="{2F00D476-B29D-7749-B0E6-3ABC582780FD}" name="班级" dataDxfId="7" dataCellStyle="解释性文本"/>
    <tableColumn id="2" xr3:uid="{8C27499E-7120-F545-BCD5-DA404D1FA96A}" name="人数" dataDxfId="8" dataCellStyle="解释性文本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919B97-6984-9C4E-8EEB-BABA62976EB8}" name="表3" displayName="表3" ref="A1:B5" totalsRowShown="0">
  <autoFilter ref="A1:B5" xr:uid="{54919B97-6984-9C4E-8EEB-BABA62976EB8}"/>
  <tableColumns count="2">
    <tableColumn id="1" xr3:uid="{2762D46C-2D65-AF4F-855B-4B81569D15CB}" name="科目" dataDxfId="11"/>
    <tableColumn id="2" xr3:uid="{427E2E34-2A4F-074B-9702-96F5E3D43850}" name="默认时长（分钟）" dataDxfId="1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F401D5-FAD5-9146-9C70-3EEA48499032}" name="表6" displayName="表6" ref="A1:D4" totalsRowShown="0" headerRowDxfId="5" dataDxfId="2" dataCellStyle="解释性文本">
  <autoFilter ref="A1:D4" xr:uid="{ACF401D5-FAD5-9146-9C70-3EEA48499032}"/>
  <tableColumns count="4">
    <tableColumn id="1" xr3:uid="{8EE90170-B0EF-9D4D-A1C8-425E24882653}" name="教室" dataDxfId="4" dataCellStyle="解释性文本"/>
    <tableColumn id="5" xr3:uid="{8D2E57B9-C5A2-FA49-A95D-F18F97DAC90D}" name="类型" dataDxfId="1" dataCellStyle="解释性文本"/>
    <tableColumn id="6" xr3:uid="{6ED3A3BB-BCA3-9044-9A78-26B304F23849}" name="容量" dataDxfId="0" dataCellStyle="解释性文本"/>
    <tableColumn id="2" xr3:uid="{11439A20-02B1-0B47-A777-BB6A74318DEF}" name="不可用时间" dataDxfId="3" dataCellStyle="解释性文本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72A4-23F0-544C-B23A-FEE8EC1633CF}">
  <dimension ref="A1:B3"/>
  <sheetViews>
    <sheetView workbookViewId="0">
      <selection activeCell="D8" sqref="D8"/>
    </sheetView>
  </sheetViews>
  <sheetFormatPr baseColWidth="10" defaultRowHeight="16"/>
  <cols>
    <col min="1" max="1" width="12.5" customWidth="1"/>
    <col min="2" max="2" width="14.33203125" customWidth="1"/>
  </cols>
  <sheetData>
    <row r="1" spans="1:2">
      <c r="A1" s="1" t="s">
        <v>2</v>
      </c>
      <c r="B1" s="1" t="s">
        <v>3</v>
      </c>
    </row>
    <row r="2" spans="1:2">
      <c r="A2" s="1" t="s">
        <v>0</v>
      </c>
      <c r="B2" s="2" t="s">
        <v>5</v>
      </c>
    </row>
    <row r="3" spans="1:2">
      <c r="A3" s="1" t="s">
        <v>1</v>
      </c>
      <c r="B3" s="2">
        <v>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1C3F-E77F-0940-ADE3-46A928E95A1A}">
  <dimension ref="A1:I39"/>
  <sheetViews>
    <sheetView workbookViewId="0">
      <selection activeCell="A2" sqref="A2"/>
    </sheetView>
  </sheetViews>
  <sheetFormatPr baseColWidth="10" defaultRowHeight="16"/>
  <cols>
    <col min="1" max="1" width="17.6640625" customWidth="1"/>
    <col min="2" max="2" width="19.83203125" customWidth="1"/>
    <col min="3" max="3" width="10.83203125" customWidth="1"/>
    <col min="10" max="10" width="16.5" customWidth="1"/>
  </cols>
  <sheetData>
    <row r="1" spans="1:9" s="1" customFormat="1">
      <c r="A1" s="1" t="s">
        <v>2</v>
      </c>
      <c r="B1" s="1" t="s">
        <v>16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>
      <c r="A2" s="1" t="s">
        <v>13</v>
      </c>
      <c r="B2" s="1" t="s">
        <v>17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15</v>
      </c>
      <c r="I2" s="1" t="s">
        <v>15</v>
      </c>
    </row>
    <row r="4" spans="1:9">
      <c r="I4" s="45" t="s">
        <v>13</v>
      </c>
    </row>
    <row r="5" spans="1:9">
      <c r="A5" s="47" t="s">
        <v>98</v>
      </c>
      <c r="B5" s="42" t="s">
        <v>99</v>
      </c>
      <c r="C5" s="43"/>
      <c r="D5" s="43"/>
      <c r="E5" s="43"/>
      <c r="F5" s="43"/>
      <c r="G5" s="43"/>
      <c r="H5" s="44"/>
      <c r="I5" s="53" t="s">
        <v>14</v>
      </c>
    </row>
    <row r="6" spans="1:9">
      <c r="A6" s="48" t="s">
        <v>100</v>
      </c>
      <c r="B6" s="41"/>
      <c r="C6" s="41"/>
      <c r="D6" s="41"/>
      <c r="E6" s="41"/>
      <c r="F6" s="41"/>
      <c r="G6" s="41"/>
      <c r="H6" s="41"/>
      <c r="I6" s="49"/>
    </row>
    <row r="7" spans="1:9">
      <c r="A7" s="46" t="s">
        <v>18</v>
      </c>
      <c r="B7" s="50" t="str" cm="1">
        <f t="array" ref="B7">IF(表2[周一]="启用",表2[[#Headers],[周一]],"")</f>
        <v>周一</v>
      </c>
      <c r="C7" s="50" t="str" cm="1">
        <f t="array" ref="C7">IF(表2[周二]="启用",表2[[#Headers],[周二]],"")</f>
        <v>周二</v>
      </c>
      <c r="D7" s="50" t="str" cm="1">
        <f t="array" ref="D7">IF(表2[周三]="启用",表2[[#Headers],[周三]],"")</f>
        <v>周三</v>
      </c>
      <c r="E7" s="50" t="str" cm="1">
        <f t="array" ref="E7">IF(表2[周四]="启用",表2[[#Headers],[周四]],"")</f>
        <v>周四</v>
      </c>
      <c r="F7" s="50" t="str" cm="1">
        <f t="array" ref="F7">IF(表2[周五]="启用",表2[[#Headers],[周五]],"")</f>
        <v>周五</v>
      </c>
      <c r="G7" s="51" t="str" cm="1">
        <f t="array" ref="G7">IF(表2[周六]="启用",表2[[#Headers],[周六]],"")</f>
        <v/>
      </c>
      <c r="H7" s="52" t="str" cm="1">
        <f t="array" ref="H7">IF(表2[周日]="启用",表2[[#Headers],[周日]],"")</f>
        <v/>
      </c>
      <c r="I7" s="45" t="s">
        <v>4</v>
      </c>
    </row>
    <row r="8" spans="1:9">
      <c r="A8" s="8" t="s">
        <v>115</v>
      </c>
      <c r="B8" s="3" t="s">
        <v>107</v>
      </c>
      <c r="C8" s="1" t="s">
        <v>108</v>
      </c>
      <c r="D8" s="1" t="s">
        <v>108</v>
      </c>
      <c r="E8" s="1" t="s">
        <v>108</v>
      </c>
      <c r="F8" s="4" t="s">
        <v>108</v>
      </c>
      <c r="G8" s="1"/>
      <c r="H8" s="4"/>
      <c r="I8" s="17" t="s">
        <v>35</v>
      </c>
    </row>
    <row r="9" spans="1:9">
      <c r="A9" s="8" t="s">
        <v>19</v>
      </c>
      <c r="B9" s="3" t="s">
        <v>46</v>
      </c>
      <c r="C9" s="1" t="s">
        <v>45</v>
      </c>
      <c r="D9" s="1" t="s">
        <v>46</v>
      </c>
      <c r="E9" s="1" t="s">
        <v>45</v>
      </c>
      <c r="F9" s="4" t="s">
        <v>46</v>
      </c>
      <c r="G9" s="1"/>
      <c r="H9" s="4"/>
      <c r="I9" s="17"/>
    </row>
    <row r="10" spans="1:9">
      <c r="A10" s="8" t="s">
        <v>20</v>
      </c>
      <c r="B10" s="3" t="s">
        <v>46</v>
      </c>
      <c r="C10" s="1" t="s">
        <v>45</v>
      </c>
      <c r="D10" s="1" t="s">
        <v>46</v>
      </c>
      <c r="E10" s="1" t="s">
        <v>45</v>
      </c>
      <c r="F10" s="4" t="s">
        <v>46</v>
      </c>
      <c r="G10" s="1"/>
      <c r="H10" s="4"/>
      <c r="I10" s="17"/>
    </row>
    <row r="11" spans="1:9">
      <c r="A11" s="8" t="s">
        <v>21</v>
      </c>
      <c r="B11" s="11" t="s">
        <v>22</v>
      </c>
      <c r="C11" s="12"/>
      <c r="D11" s="12"/>
      <c r="E11" s="12"/>
      <c r="F11" s="13"/>
      <c r="G11" s="1"/>
      <c r="H11" s="4"/>
      <c r="I11" s="17"/>
    </row>
    <row r="12" spans="1:9">
      <c r="A12" s="8" t="s">
        <v>26</v>
      </c>
      <c r="B12" s="3" t="s">
        <v>45</v>
      </c>
      <c r="C12" s="1" t="s">
        <v>61</v>
      </c>
      <c r="D12" s="1" t="s">
        <v>45</v>
      </c>
      <c r="E12" s="1" t="s">
        <v>61</v>
      </c>
      <c r="F12" s="4" t="s">
        <v>45</v>
      </c>
      <c r="G12" s="1"/>
      <c r="H12" s="4"/>
      <c r="I12" s="17"/>
    </row>
    <row r="13" spans="1:9">
      <c r="A13" s="8" t="s">
        <v>27</v>
      </c>
      <c r="B13" s="3" t="s">
        <v>60</v>
      </c>
      <c r="C13" s="1" t="s">
        <v>46</v>
      </c>
      <c r="D13" s="1" t="s">
        <v>60</v>
      </c>
      <c r="E13" s="1" t="s">
        <v>60</v>
      </c>
      <c r="F13" s="4" t="s">
        <v>109</v>
      </c>
      <c r="G13" s="1"/>
      <c r="H13" s="4"/>
      <c r="I13" s="17"/>
    </row>
    <row r="14" spans="1:9">
      <c r="A14" s="8" t="s">
        <v>28</v>
      </c>
      <c r="B14" s="11" t="s">
        <v>32</v>
      </c>
      <c r="C14" s="12"/>
      <c r="D14" s="12"/>
      <c r="E14" s="12"/>
      <c r="F14" s="13"/>
      <c r="G14" s="1"/>
      <c r="H14" s="4"/>
      <c r="I14" s="17"/>
    </row>
    <row r="15" spans="1:9">
      <c r="A15" s="8" t="s">
        <v>29</v>
      </c>
      <c r="B15" s="3" t="s">
        <v>45</v>
      </c>
      <c r="C15" s="1" t="s">
        <v>111</v>
      </c>
      <c r="D15" s="1" t="s">
        <v>112</v>
      </c>
      <c r="E15" s="1" t="s">
        <v>110</v>
      </c>
      <c r="F15" s="4" t="s">
        <v>46</v>
      </c>
      <c r="G15" s="1"/>
      <c r="H15" s="4"/>
      <c r="I15" s="17"/>
    </row>
    <row r="16" spans="1:9">
      <c r="A16" s="8" t="s">
        <v>30</v>
      </c>
      <c r="B16" s="11" t="s">
        <v>33</v>
      </c>
      <c r="C16" s="12"/>
      <c r="D16" s="12"/>
      <c r="E16" s="12"/>
      <c r="F16" s="13"/>
      <c r="G16" s="1"/>
      <c r="H16" s="4"/>
      <c r="I16" s="17"/>
    </row>
    <row r="17" spans="1:9">
      <c r="A17" s="8" t="s">
        <v>31</v>
      </c>
      <c r="B17" s="3" t="s">
        <v>114</v>
      </c>
      <c r="C17" s="1" t="s">
        <v>114</v>
      </c>
      <c r="D17" s="1" t="s">
        <v>114</v>
      </c>
      <c r="E17" s="1" t="s">
        <v>114</v>
      </c>
      <c r="F17" s="4" t="s">
        <v>114</v>
      </c>
      <c r="G17" s="1"/>
      <c r="H17" s="4"/>
      <c r="I17" s="17"/>
    </row>
    <row r="18" spans="1:9">
      <c r="A18" s="8" t="s">
        <v>25</v>
      </c>
      <c r="B18" s="3" t="s">
        <v>114</v>
      </c>
      <c r="C18" s="1" t="s">
        <v>114</v>
      </c>
      <c r="D18" s="1" t="s">
        <v>114</v>
      </c>
      <c r="E18" s="1" t="s">
        <v>114</v>
      </c>
      <c r="F18" s="4" t="s">
        <v>114</v>
      </c>
      <c r="G18" s="1"/>
      <c r="H18" s="4"/>
      <c r="I18" s="17"/>
    </row>
    <row r="19" spans="1:9">
      <c r="A19" s="8" t="s">
        <v>24</v>
      </c>
      <c r="B19" s="3" t="s">
        <v>114</v>
      </c>
      <c r="C19" s="1" t="s">
        <v>114</v>
      </c>
      <c r="D19" s="1" t="s">
        <v>114</v>
      </c>
      <c r="E19" s="1" t="s">
        <v>114</v>
      </c>
      <c r="F19" s="4" t="s">
        <v>114</v>
      </c>
      <c r="G19" s="1"/>
      <c r="H19" s="4"/>
      <c r="I19" s="17"/>
    </row>
    <row r="20" spans="1:9">
      <c r="A20" s="9" t="s">
        <v>23</v>
      </c>
      <c r="B20" s="14" t="s">
        <v>34</v>
      </c>
      <c r="C20" s="15"/>
      <c r="D20" s="15"/>
      <c r="E20" s="15"/>
      <c r="F20" s="16"/>
      <c r="G20" s="5"/>
      <c r="H20" s="6"/>
      <c r="I20" s="18"/>
    </row>
    <row r="21" spans="1:9">
      <c r="A21" s="7"/>
      <c r="B21" s="1"/>
      <c r="C21" s="1"/>
      <c r="D21" s="1"/>
      <c r="E21" s="1"/>
      <c r="F21" s="1"/>
      <c r="G21" s="1"/>
      <c r="H21" s="1"/>
      <c r="I21" s="1"/>
    </row>
    <row r="22" spans="1:9">
      <c r="A22" s="7"/>
      <c r="B22" s="1"/>
      <c r="C22" s="1"/>
      <c r="D22" s="1"/>
      <c r="E22" s="1"/>
      <c r="F22" s="1"/>
      <c r="G22" s="1"/>
      <c r="H22" s="1"/>
      <c r="I22" s="57" t="s">
        <v>103</v>
      </c>
    </row>
    <row r="23" spans="1:9">
      <c r="A23" s="47" t="s">
        <v>101</v>
      </c>
      <c r="B23" s="42" t="s">
        <v>102</v>
      </c>
      <c r="C23" s="43"/>
      <c r="D23" s="43"/>
      <c r="E23" s="43"/>
      <c r="F23" s="43"/>
      <c r="G23" s="43"/>
      <c r="H23" s="44"/>
      <c r="I23" s="54" t="s">
        <v>15</v>
      </c>
    </row>
    <row r="24" spans="1:9">
      <c r="A24" s="48" t="s">
        <v>100</v>
      </c>
      <c r="B24" s="41"/>
      <c r="C24" s="41"/>
      <c r="D24" s="41"/>
      <c r="E24" s="41"/>
      <c r="F24" s="41"/>
      <c r="G24" s="41"/>
      <c r="H24" s="41"/>
      <c r="I24" s="49"/>
    </row>
    <row r="25" spans="1:9">
      <c r="A25" s="46" t="s">
        <v>18</v>
      </c>
      <c r="B25" s="50" t="str" cm="1">
        <f t="array" ref="B25">IF(表2[周一]="启用",表2[[#Headers],[周一]],"")</f>
        <v>周一</v>
      </c>
      <c r="C25" s="50" t="str" cm="1">
        <f t="array" ref="C25">IF(表2[周二]="启用",表2[[#Headers],[周二]],"")</f>
        <v>周二</v>
      </c>
      <c r="D25" s="50" t="str" cm="1">
        <f t="array" ref="D25">IF(表2[周三]="启用",表2[[#Headers],[周三]],"")</f>
        <v>周三</v>
      </c>
      <c r="E25" s="50" t="str" cm="1">
        <f t="array" ref="E25">IF(表2[周四]="启用",表2[[#Headers],[周四]],"")</f>
        <v>周四</v>
      </c>
      <c r="F25" s="50" t="str" cm="1">
        <f t="array" ref="F25">IF(表2[周五]="启用",表2[[#Headers],[周五]],"")</f>
        <v>周五</v>
      </c>
      <c r="G25" s="51" t="str" cm="1">
        <f t="array" ref="G25">IF(表2[周六]="启用",表2[[#Headers],[周六]],"")</f>
        <v/>
      </c>
      <c r="H25" s="52" t="str" cm="1">
        <f t="array" ref="H25">IF(表2[周日]="启用",表2[[#Headers],[周日]],"")</f>
        <v/>
      </c>
      <c r="I25" s="45" t="s">
        <v>4</v>
      </c>
    </row>
    <row r="26" spans="1:9">
      <c r="A26" s="8" t="s">
        <v>116</v>
      </c>
      <c r="B26" s="23" t="s">
        <v>107</v>
      </c>
      <c r="C26" s="55"/>
      <c r="D26" s="55"/>
      <c r="E26" s="55"/>
      <c r="F26" s="56"/>
      <c r="G26" s="1"/>
      <c r="H26" s="4"/>
      <c r="I26" s="17" t="s">
        <v>35</v>
      </c>
    </row>
    <row r="27" spans="1:9">
      <c r="A27" s="1" t="s">
        <v>115</v>
      </c>
      <c r="B27" s="11"/>
      <c r="C27" s="1" t="s">
        <v>108</v>
      </c>
      <c r="D27" s="1" t="s">
        <v>108</v>
      </c>
      <c r="E27" s="1" t="s">
        <v>108</v>
      </c>
      <c r="F27" s="4" t="s">
        <v>108</v>
      </c>
      <c r="G27" s="1"/>
      <c r="H27" s="4"/>
      <c r="I27" s="17"/>
    </row>
    <row r="28" spans="1:9">
      <c r="A28" s="8" t="s">
        <v>19</v>
      </c>
      <c r="B28" s="3" t="s">
        <v>46</v>
      </c>
      <c r="C28" s="1" t="s">
        <v>45</v>
      </c>
      <c r="D28" s="1" t="s">
        <v>46</v>
      </c>
      <c r="E28" s="1" t="s">
        <v>45</v>
      </c>
      <c r="F28" s="4" t="s">
        <v>46</v>
      </c>
      <c r="G28" s="1"/>
      <c r="H28" s="4"/>
      <c r="I28" s="17"/>
    </row>
    <row r="29" spans="1:9">
      <c r="A29" s="8" t="s">
        <v>20</v>
      </c>
      <c r="B29" s="3" t="s">
        <v>46</v>
      </c>
      <c r="C29" s="1" t="s">
        <v>45</v>
      </c>
      <c r="D29" s="1" t="s">
        <v>46</v>
      </c>
      <c r="E29" s="1" t="s">
        <v>45</v>
      </c>
      <c r="F29" s="4" t="s">
        <v>46</v>
      </c>
      <c r="G29" s="1"/>
      <c r="H29" s="4"/>
      <c r="I29" s="17"/>
    </row>
    <row r="30" spans="1:9">
      <c r="A30" s="8" t="s">
        <v>21</v>
      </c>
      <c r="B30" s="11" t="s">
        <v>22</v>
      </c>
      <c r="C30" s="12"/>
      <c r="D30" s="12"/>
      <c r="E30" s="12"/>
      <c r="F30" s="13"/>
      <c r="G30" s="1"/>
      <c r="H30" s="4"/>
      <c r="I30" s="17"/>
    </row>
    <row r="31" spans="1:9">
      <c r="A31" s="8" t="s">
        <v>26</v>
      </c>
      <c r="B31" s="3" t="s">
        <v>45</v>
      </c>
      <c r="C31" s="1" t="s">
        <v>61</v>
      </c>
      <c r="D31" s="1" t="s">
        <v>45</v>
      </c>
      <c r="E31" s="1" t="s">
        <v>61</v>
      </c>
      <c r="F31" s="4" t="s">
        <v>45</v>
      </c>
      <c r="G31" s="1"/>
      <c r="H31" s="4"/>
      <c r="I31" s="17"/>
    </row>
    <row r="32" spans="1:9">
      <c r="A32" s="8" t="s">
        <v>27</v>
      </c>
      <c r="B32" s="3" t="s">
        <v>60</v>
      </c>
      <c r="C32" s="1" t="s">
        <v>46</v>
      </c>
      <c r="D32" s="1" t="s">
        <v>60</v>
      </c>
      <c r="E32" s="1" t="s">
        <v>60</v>
      </c>
      <c r="F32" s="4" t="s">
        <v>109</v>
      </c>
      <c r="G32" s="1"/>
      <c r="H32" s="4"/>
      <c r="I32" s="17"/>
    </row>
    <row r="33" spans="1:9">
      <c r="A33" s="8" t="s">
        <v>28</v>
      </c>
      <c r="B33" s="11" t="s">
        <v>32</v>
      </c>
      <c r="C33" s="12"/>
      <c r="D33" s="12"/>
      <c r="E33" s="12"/>
      <c r="F33" s="13"/>
      <c r="G33" s="1"/>
      <c r="H33" s="4"/>
      <c r="I33" s="17"/>
    </row>
    <row r="34" spans="1:9">
      <c r="A34" s="8" t="s">
        <v>29</v>
      </c>
      <c r="B34" s="3" t="s">
        <v>45</v>
      </c>
      <c r="C34" s="1" t="s">
        <v>111</v>
      </c>
      <c r="D34" s="1" t="s">
        <v>112</v>
      </c>
      <c r="E34" s="1" t="s">
        <v>110</v>
      </c>
      <c r="F34" s="4" t="s">
        <v>46</v>
      </c>
      <c r="G34" s="1"/>
      <c r="H34" s="4"/>
      <c r="I34" s="17"/>
    </row>
    <row r="35" spans="1:9">
      <c r="A35" s="8" t="s">
        <v>30</v>
      </c>
      <c r="B35" s="11" t="s">
        <v>33</v>
      </c>
      <c r="C35" s="25"/>
      <c r="D35" s="25"/>
      <c r="E35" s="25"/>
      <c r="F35" s="13"/>
      <c r="G35" s="1"/>
      <c r="H35" s="4"/>
      <c r="I35" s="17"/>
    </row>
    <row r="36" spans="1:9">
      <c r="A36" s="8" t="s">
        <v>31</v>
      </c>
      <c r="B36" s="3" t="s">
        <v>113</v>
      </c>
      <c r="C36" s="24" t="s">
        <v>113</v>
      </c>
      <c r="D36" s="24" t="s">
        <v>113</v>
      </c>
      <c r="E36" s="24" t="s">
        <v>113</v>
      </c>
      <c r="F36" s="4" t="s">
        <v>113</v>
      </c>
      <c r="G36" s="1"/>
      <c r="H36" s="4"/>
      <c r="I36" s="17"/>
    </row>
    <row r="37" spans="1:9">
      <c r="A37" s="8" t="s">
        <v>25</v>
      </c>
      <c r="B37" s="3" t="s">
        <v>113</v>
      </c>
      <c r="C37" s="24" t="s">
        <v>113</v>
      </c>
      <c r="D37" s="24" t="s">
        <v>113</v>
      </c>
      <c r="E37" s="24" t="s">
        <v>113</v>
      </c>
      <c r="F37" s="4" t="s">
        <v>113</v>
      </c>
      <c r="G37" s="1"/>
      <c r="H37" s="4"/>
      <c r="I37" s="17"/>
    </row>
    <row r="38" spans="1:9">
      <c r="A38" s="8" t="s">
        <v>24</v>
      </c>
      <c r="B38" s="3" t="s">
        <v>113</v>
      </c>
      <c r="C38" s="24" t="s">
        <v>113</v>
      </c>
      <c r="D38" s="24" t="s">
        <v>113</v>
      </c>
      <c r="E38" s="24" t="s">
        <v>113</v>
      </c>
      <c r="F38" s="4" t="s">
        <v>113</v>
      </c>
      <c r="G38" s="1"/>
      <c r="H38" s="4"/>
      <c r="I38" s="17"/>
    </row>
    <row r="39" spans="1:9">
      <c r="A39" s="9" t="s">
        <v>23</v>
      </c>
      <c r="B39" s="14" t="s">
        <v>34</v>
      </c>
      <c r="C39" s="15"/>
      <c r="D39" s="15"/>
      <c r="E39" s="15"/>
      <c r="F39" s="16"/>
      <c r="G39" s="5"/>
      <c r="H39" s="6"/>
      <c r="I39" s="18"/>
    </row>
  </sheetData>
  <mergeCells count="15">
    <mergeCell ref="A6:I6"/>
    <mergeCell ref="A24:I24"/>
    <mergeCell ref="I26:I39"/>
    <mergeCell ref="B30:F30"/>
    <mergeCell ref="B33:F33"/>
    <mergeCell ref="B35:F35"/>
    <mergeCell ref="B39:F39"/>
    <mergeCell ref="B5:H5"/>
    <mergeCell ref="B23:H23"/>
    <mergeCell ref="B26:B27"/>
    <mergeCell ref="B11:F11"/>
    <mergeCell ref="B14:F14"/>
    <mergeCell ref="B16:F16"/>
    <mergeCell ref="B20:F20"/>
    <mergeCell ref="I8:I20"/>
  </mergeCells>
  <phoneticPr fontId="2" type="noConversion"/>
  <dataValidations count="1">
    <dataValidation type="custom" allowBlank="1" showInputMessage="1" showErrorMessage="1" sqref="C2:I2" xr:uid="{115985B0-9AAA-CE48-BA58-52E6C4C58D0F}">
      <formula1>OR(C2="启用", C2="不启用")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A3FA-75CC-7047-B709-6AC332B48FBC}">
  <dimension ref="A1:B4"/>
  <sheetViews>
    <sheetView workbookViewId="0">
      <selection activeCell="A2" sqref="A2"/>
    </sheetView>
  </sheetViews>
  <sheetFormatPr baseColWidth="10" defaultRowHeight="16"/>
  <cols>
    <col min="1" max="1" width="10.83203125" style="1"/>
    <col min="2" max="2" width="29.33203125" customWidth="1"/>
  </cols>
  <sheetData>
    <row r="1" spans="1:2">
      <c r="A1" s="1" t="s">
        <v>36</v>
      </c>
      <c r="B1" s="1" t="s">
        <v>37</v>
      </c>
    </row>
    <row r="2" spans="1:2">
      <c r="A2" s="2" t="s">
        <v>38</v>
      </c>
      <c r="B2" s="20" t="s">
        <v>104</v>
      </c>
    </row>
    <row r="3" spans="1:2">
      <c r="A3" s="2" t="s">
        <v>39</v>
      </c>
      <c r="B3" s="20" t="s">
        <v>105</v>
      </c>
    </row>
    <row r="4" spans="1:2">
      <c r="A4" s="2" t="s">
        <v>62</v>
      </c>
      <c r="B4" s="20" t="s">
        <v>106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7381-1611-E341-AADA-516F9D694E4A}">
  <dimension ref="A1:B2"/>
  <sheetViews>
    <sheetView workbookViewId="0">
      <selection activeCell="A2" sqref="A2"/>
    </sheetView>
  </sheetViews>
  <sheetFormatPr baseColWidth="10" defaultRowHeight="16"/>
  <cols>
    <col min="1" max="2" width="10.83203125" style="1"/>
  </cols>
  <sheetData>
    <row r="1" spans="1:2">
      <c r="A1" s="10" t="s">
        <v>40</v>
      </c>
      <c r="B1" s="10" t="s">
        <v>41</v>
      </c>
    </row>
    <row r="2" spans="1:2">
      <c r="A2" s="19" t="s">
        <v>42</v>
      </c>
      <c r="B2" s="19">
        <v>36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CAE41-5C13-524B-86E4-24DB93E2F38A}">
  <dimension ref="A1:B5"/>
  <sheetViews>
    <sheetView workbookViewId="0">
      <selection activeCell="A2" sqref="A2"/>
    </sheetView>
  </sheetViews>
  <sheetFormatPr baseColWidth="10" defaultRowHeight="16"/>
  <cols>
    <col min="1" max="1" width="10.83203125" style="1"/>
    <col min="2" max="2" width="20.33203125" style="1" customWidth="1"/>
  </cols>
  <sheetData>
    <row r="1" spans="1:2">
      <c r="A1" s="1" t="s">
        <v>43</v>
      </c>
      <c r="B1" s="1" t="s">
        <v>44</v>
      </c>
    </row>
    <row r="2" spans="1:2">
      <c r="A2" s="2" t="s">
        <v>45</v>
      </c>
      <c r="B2" s="2">
        <v>40</v>
      </c>
    </row>
    <row r="3" spans="1:2">
      <c r="A3" s="2" t="s">
        <v>46</v>
      </c>
      <c r="B3" s="2">
        <v>40</v>
      </c>
    </row>
    <row r="4" spans="1:2">
      <c r="A4" s="2" t="s">
        <v>60</v>
      </c>
      <c r="B4" s="2">
        <v>40</v>
      </c>
    </row>
    <row r="5" spans="1:2">
      <c r="A5" s="2" t="s">
        <v>61</v>
      </c>
      <c r="B5" s="2">
        <v>40</v>
      </c>
    </row>
  </sheetData>
  <phoneticPr fontId="2" type="noConversion"/>
  <dataValidations count="1">
    <dataValidation type="whole" allowBlank="1" showInputMessage="1" showErrorMessage="1" sqref="B2:B5" xr:uid="{C3884763-961E-3548-8525-FE9C11691BFF}">
      <formula1>0</formula1>
      <formula2>1440</formula2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201D-3B02-B04C-A587-E88C703482DE}">
  <dimension ref="A1:G9"/>
  <sheetViews>
    <sheetView workbookViewId="0">
      <selection activeCell="A2" sqref="A2"/>
    </sheetView>
  </sheetViews>
  <sheetFormatPr baseColWidth="10" defaultRowHeight="16"/>
  <cols>
    <col min="4" max="4" width="29.33203125" customWidth="1"/>
  </cols>
  <sheetData>
    <row r="1" spans="1:7">
      <c r="A1" s="1" t="s">
        <v>47</v>
      </c>
      <c r="B1" s="1" t="s">
        <v>48</v>
      </c>
      <c r="C1" s="1" t="s">
        <v>49</v>
      </c>
      <c r="D1" s="1" t="s">
        <v>55</v>
      </c>
    </row>
    <row r="2" spans="1:7">
      <c r="A2" s="21">
        <v>301</v>
      </c>
      <c r="B2" s="2" t="s">
        <v>51</v>
      </c>
      <c r="C2" s="2">
        <v>50</v>
      </c>
      <c r="D2" s="2" t="s">
        <v>56</v>
      </c>
    </row>
    <row r="3" spans="1:7">
      <c r="A3" s="21" t="s">
        <v>54</v>
      </c>
      <c r="B3" s="2" t="s">
        <v>53</v>
      </c>
      <c r="C3" s="2">
        <v>50</v>
      </c>
      <c r="D3" s="2" t="s">
        <v>56</v>
      </c>
    </row>
    <row r="4" spans="1:7">
      <c r="A4" s="21" t="s">
        <v>42</v>
      </c>
      <c r="B4" s="2" t="s">
        <v>52</v>
      </c>
      <c r="C4" s="2">
        <v>60</v>
      </c>
      <c r="D4" s="2" t="s">
        <v>57</v>
      </c>
    </row>
    <row r="9" spans="1:7">
      <c r="G9" t="s">
        <v>50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782F-4EDF-C145-8D48-1098A64EA29D}">
  <dimension ref="A1:J14"/>
  <sheetViews>
    <sheetView workbookViewId="0">
      <selection activeCell="A2" sqref="A2:A14"/>
    </sheetView>
  </sheetViews>
  <sheetFormatPr baseColWidth="10" defaultRowHeight="16"/>
  <cols>
    <col min="1" max="3" width="10.83203125" style="1"/>
    <col min="4" max="6" width="17.1640625" style="1" customWidth="1"/>
    <col min="7" max="7" width="28.33203125" style="1" customWidth="1"/>
    <col min="8" max="8" width="26.83203125" style="1" customWidth="1"/>
    <col min="9" max="9" width="25.5" style="1" customWidth="1"/>
    <col min="10" max="10" width="29.83203125" style="1" customWidth="1"/>
  </cols>
  <sheetData>
    <row r="1" spans="1:10">
      <c r="A1" s="22" t="s">
        <v>40</v>
      </c>
      <c r="B1" s="22" t="s">
        <v>43</v>
      </c>
      <c r="C1" s="22" t="s">
        <v>58</v>
      </c>
      <c r="D1" s="22" t="s">
        <v>65</v>
      </c>
      <c r="E1" s="22" t="s">
        <v>64</v>
      </c>
      <c r="F1" s="22" t="s">
        <v>66</v>
      </c>
      <c r="G1" s="22" t="s">
        <v>68</v>
      </c>
      <c r="H1" s="22" t="s">
        <v>69</v>
      </c>
      <c r="I1" s="22" t="s">
        <v>70</v>
      </c>
      <c r="J1" s="22" t="s">
        <v>71</v>
      </c>
    </row>
    <row r="2" spans="1:10">
      <c r="A2" s="27" t="s">
        <v>42</v>
      </c>
      <c r="B2" s="27" t="s">
        <v>46</v>
      </c>
      <c r="C2" s="28" t="s">
        <v>38</v>
      </c>
      <c r="D2" s="28" t="s">
        <v>59</v>
      </c>
      <c r="E2" s="29">
        <v>1</v>
      </c>
      <c r="F2" s="29" t="s">
        <v>67</v>
      </c>
      <c r="G2" s="29" t="s">
        <v>73</v>
      </c>
      <c r="H2" s="29" t="s">
        <v>57</v>
      </c>
      <c r="I2" s="29" t="s">
        <v>57</v>
      </c>
      <c r="J2" s="30" t="s">
        <v>57</v>
      </c>
    </row>
    <row r="3" spans="1:10">
      <c r="A3" s="31"/>
      <c r="B3" s="31"/>
      <c r="C3" s="32"/>
      <c r="D3" s="32"/>
      <c r="E3" s="7">
        <v>2</v>
      </c>
      <c r="F3" s="7" t="s">
        <v>67</v>
      </c>
      <c r="G3" s="7" t="s">
        <v>73</v>
      </c>
      <c r="H3" s="7" t="s">
        <v>57</v>
      </c>
      <c r="I3" s="7" t="s">
        <v>57</v>
      </c>
      <c r="J3" s="33" t="s">
        <v>57</v>
      </c>
    </row>
    <row r="4" spans="1:10">
      <c r="A4" s="31"/>
      <c r="B4" s="31"/>
      <c r="C4" s="32"/>
      <c r="D4" s="32"/>
      <c r="E4" s="7">
        <v>3</v>
      </c>
      <c r="F4" s="7" t="s">
        <v>67</v>
      </c>
      <c r="G4" s="7" t="s">
        <v>72</v>
      </c>
      <c r="H4" s="7" t="s">
        <v>57</v>
      </c>
      <c r="I4" s="7" t="s">
        <v>57</v>
      </c>
      <c r="J4" s="33" t="s">
        <v>57</v>
      </c>
    </row>
    <row r="5" spans="1:10">
      <c r="A5" s="31"/>
      <c r="B5" s="31"/>
      <c r="C5" s="32"/>
      <c r="D5" s="32"/>
      <c r="E5" s="7">
        <v>4</v>
      </c>
      <c r="F5" s="7" t="s">
        <v>67</v>
      </c>
      <c r="G5" s="7" t="s">
        <v>72</v>
      </c>
      <c r="H5" s="7" t="s">
        <v>57</v>
      </c>
      <c r="I5" s="7" t="s">
        <v>57</v>
      </c>
      <c r="J5" s="33" t="s">
        <v>57</v>
      </c>
    </row>
    <row r="6" spans="1:10">
      <c r="A6" s="31"/>
      <c r="B6" s="27" t="s">
        <v>45</v>
      </c>
      <c r="C6" s="28" t="s">
        <v>39</v>
      </c>
      <c r="D6" s="28" t="s">
        <v>59</v>
      </c>
      <c r="E6" s="29">
        <v>1</v>
      </c>
      <c r="F6" s="29" t="s">
        <v>67</v>
      </c>
      <c r="G6" s="29" t="s">
        <v>72</v>
      </c>
      <c r="H6" s="29" t="s">
        <v>57</v>
      </c>
      <c r="I6" s="29" t="s">
        <v>57</v>
      </c>
      <c r="J6" s="30" t="s">
        <v>57</v>
      </c>
    </row>
    <row r="7" spans="1:10">
      <c r="A7" s="31"/>
      <c r="B7" s="31"/>
      <c r="C7" s="32"/>
      <c r="D7" s="32"/>
      <c r="E7" s="7">
        <v>2</v>
      </c>
      <c r="F7" s="7" t="s">
        <v>67</v>
      </c>
      <c r="G7" s="7" t="s">
        <v>72</v>
      </c>
      <c r="H7" s="7" t="s">
        <v>57</v>
      </c>
      <c r="I7" s="7" t="s">
        <v>57</v>
      </c>
      <c r="J7" s="33" t="s">
        <v>57</v>
      </c>
    </row>
    <row r="8" spans="1:10">
      <c r="A8" s="31"/>
      <c r="B8" s="31"/>
      <c r="C8" s="32"/>
      <c r="D8" s="32"/>
      <c r="E8" s="7">
        <v>3</v>
      </c>
      <c r="F8" s="7" t="s">
        <v>67</v>
      </c>
      <c r="G8" s="7" t="s">
        <v>72</v>
      </c>
      <c r="H8" s="7" t="s">
        <v>57</v>
      </c>
      <c r="I8" s="7" t="s">
        <v>57</v>
      </c>
      <c r="J8" s="33" t="s">
        <v>57</v>
      </c>
    </row>
    <row r="9" spans="1:10">
      <c r="A9" s="31"/>
      <c r="B9" s="34"/>
      <c r="C9" s="35"/>
      <c r="D9" s="35"/>
      <c r="E9" s="36">
        <v>4</v>
      </c>
      <c r="F9" s="36" t="s">
        <v>67</v>
      </c>
      <c r="G9" s="36" t="s">
        <v>72</v>
      </c>
      <c r="H9" s="7" t="s">
        <v>57</v>
      </c>
      <c r="I9" s="7" t="s">
        <v>57</v>
      </c>
      <c r="J9" s="33" t="s">
        <v>57</v>
      </c>
    </row>
    <row r="10" spans="1:10">
      <c r="A10" s="31"/>
      <c r="B10" s="27" t="s">
        <v>60</v>
      </c>
      <c r="C10" s="28" t="s">
        <v>62</v>
      </c>
      <c r="D10" s="28" t="s">
        <v>53</v>
      </c>
      <c r="E10" s="29">
        <v>1</v>
      </c>
      <c r="F10" s="29" t="s">
        <v>67</v>
      </c>
      <c r="G10" s="7" t="s">
        <v>73</v>
      </c>
      <c r="H10" s="29" t="s">
        <v>74</v>
      </c>
      <c r="I10" s="29" t="s">
        <v>57</v>
      </c>
      <c r="J10" s="30" t="s">
        <v>57</v>
      </c>
    </row>
    <row r="11" spans="1:10">
      <c r="A11" s="31"/>
      <c r="B11" s="34"/>
      <c r="C11" s="35"/>
      <c r="D11" s="35"/>
      <c r="E11" s="36">
        <v>2</v>
      </c>
      <c r="F11" s="36" t="s">
        <v>67</v>
      </c>
      <c r="G11" s="7" t="s">
        <v>72</v>
      </c>
      <c r="H11" s="36" t="s">
        <v>74</v>
      </c>
      <c r="I11" s="36" t="s">
        <v>57</v>
      </c>
      <c r="J11" s="37" t="s">
        <v>57</v>
      </c>
    </row>
    <row r="12" spans="1:10">
      <c r="A12" s="31"/>
      <c r="B12" s="27" t="s">
        <v>61</v>
      </c>
      <c r="C12" s="28" t="s">
        <v>39</v>
      </c>
      <c r="D12" s="28" t="s">
        <v>63</v>
      </c>
      <c r="E12" s="29">
        <v>1</v>
      </c>
      <c r="F12" s="29" t="s">
        <v>67</v>
      </c>
      <c r="G12" s="29" t="s">
        <v>74</v>
      </c>
      <c r="H12" s="29" t="s">
        <v>72</v>
      </c>
      <c r="I12" s="29" t="s">
        <v>57</v>
      </c>
      <c r="J12" s="30" t="s">
        <v>57</v>
      </c>
    </row>
    <row r="13" spans="1:10">
      <c r="A13" s="31"/>
      <c r="B13" s="31"/>
      <c r="C13" s="32"/>
      <c r="D13" s="32"/>
      <c r="E13" s="7">
        <v>2</v>
      </c>
      <c r="F13" s="7" t="s">
        <v>67</v>
      </c>
      <c r="G13" s="7" t="s">
        <v>74</v>
      </c>
      <c r="H13" s="7" t="s">
        <v>73</v>
      </c>
      <c r="I13" s="7" t="s">
        <v>57</v>
      </c>
      <c r="J13" s="33" t="s">
        <v>57</v>
      </c>
    </row>
    <row r="14" spans="1:10">
      <c r="A14" s="34"/>
      <c r="B14" s="34"/>
      <c r="C14" s="35"/>
      <c r="D14" s="35"/>
      <c r="E14" s="36">
        <v>3</v>
      </c>
      <c r="F14" s="36" t="s">
        <v>67</v>
      </c>
      <c r="G14" s="36" t="s">
        <v>74</v>
      </c>
      <c r="H14" s="36" t="s">
        <v>73</v>
      </c>
      <c r="I14" s="36" t="s">
        <v>57</v>
      </c>
      <c r="J14" s="37" t="s">
        <v>57</v>
      </c>
    </row>
  </sheetData>
  <mergeCells count="13">
    <mergeCell ref="D6:D9"/>
    <mergeCell ref="B10:B11"/>
    <mergeCell ref="C10:C11"/>
    <mergeCell ref="D10:D11"/>
    <mergeCell ref="B12:B14"/>
    <mergeCell ref="C12:C14"/>
    <mergeCell ref="D12:D14"/>
    <mergeCell ref="A2:A14"/>
    <mergeCell ref="B2:B5"/>
    <mergeCell ref="C2:C5"/>
    <mergeCell ref="D2:D5"/>
    <mergeCell ref="B6:B9"/>
    <mergeCell ref="C6:C9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1604-CE81-3B46-92B9-89C1E47CAF06}">
  <dimension ref="A1:J39"/>
  <sheetViews>
    <sheetView tabSelected="1" workbookViewId="0">
      <selection activeCell="A4" sqref="A4:A5"/>
    </sheetView>
  </sheetViews>
  <sheetFormatPr baseColWidth="10" defaultRowHeight="16"/>
  <cols>
    <col min="1" max="1" width="19.33203125" style="1" customWidth="1"/>
    <col min="3" max="3" width="36" customWidth="1"/>
    <col min="4" max="4" width="40.1640625" customWidth="1"/>
    <col min="6" max="6" width="20" customWidth="1"/>
    <col min="8" max="8" width="34.83203125" customWidth="1"/>
  </cols>
  <sheetData>
    <row r="1" spans="1:10">
      <c r="A1" s="38" t="s">
        <v>117</v>
      </c>
      <c r="B1" s="39"/>
      <c r="C1" s="39"/>
      <c r="D1" s="40"/>
      <c r="F1" s="38" t="s">
        <v>96</v>
      </c>
      <c r="G1" s="39"/>
      <c r="H1" s="39"/>
      <c r="I1" s="40"/>
    </row>
    <row r="2" spans="1:10">
      <c r="A2" s="38" t="s">
        <v>120</v>
      </c>
      <c r="B2" s="39"/>
      <c r="C2" s="39"/>
      <c r="D2" s="40"/>
      <c r="F2" s="38" t="s">
        <v>97</v>
      </c>
      <c r="G2" s="39"/>
      <c r="H2" s="39"/>
      <c r="I2" s="40"/>
    </row>
    <row r="3" spans="1:10">
      <c r="A3" s="22" t="s">
        <v>75</v>
      </c>
      <c r="B3" s="22" t="s">
        <v>76</v>
      </c>
      <c r="C3" s="22" t="s">
        <v>77</v>
      </c>
      <c r="D3" s="22" t="s">
        <v>4</v>
      </c>
      <c r="F3" s="22" t="s">
        <v>75</v>
      </c>
      <c r="G3" s="22" t="s">
        <v>76</v>
      </c>
      <c r="H3" s="22" t="s">
        <v>77</v>
      </c>
      <c r="I3" s="22" t="s">
        <v>4</v>
      </c>
    </row>
    <row r="4" spans="1:10">
      <c r="A4" s="27" t="s">
        <v>118</v>
      </c>
      <c r="B4" s="28" t="s">
        <v>81</v>
      </c>
      <c r="C4" s="29" t="s">
        <v>82</v>
      </c>
      <c r="D4" s="26"/>
      <c r="F4" s="27" t="s">
        <v>78</v>
      </c>
      <c r="G4" s="28" t="s">
        <v>81</v>
      </c>
      <c r="H4" s="29" t="s">
        <v>82</v>
      </c>
      <c r="I4" s="26"/>
    </row>
    <row r="5" spans="1:10">
      <c r="A5" s="34"/>
      <c r="B5" s="35"/>
      <c r="C5" s="36" t="s">
        <v>83</v>
      </c>
      <c r="D5" s="16"/>
      <c r="F5" s="31"/>
      <c r="G5" s="32"/>
      <c r="H5" s="7" t="s">
        <v>83</v>
      </c>
      <c r="I5" s="13"/>
    </row>
    <row r="6" spans="1:10">
      <c r="A6" s="27" t="s">
        <v>118</v>
      </c>
      <c r="B6" s="28" t="s">
        <v>81</v>
      </c>
      <c r="C6" s="29" t="s">
        <v>86</v>
      </c>
      <c r="D6" s="26"/>
      <c r="F6" s="31"/>
      <c r="G6" s="32"/>
      <c r="H6" s="7" t="s">
        <v>84</v>
      </c>
      <c r="I6" s="13"/>
    </row>
    <row r="7" spans="1:10">
      <c r="A7" s="31"/>
      <c r="B7" s="32"/>
      <c r="C7" s="7" t="s">
        <v>87</v>
      </c>
      <c r="D7" s="13"/>
      <c r="F7" s="31"/>
      <c r="G7" s="32"/>
      <c r="H7" s="7" t="s">
        <v>85</v>
      </c>
      <c r="I7" s="13"/>
    </row>
    <row r="8" spans="1:10">
      <c r="A8" s="27" t="s">
        <v>119</v>
      </c>
      <c r="B8" s="28" t="s">
        <v>81</v>
      </c>
      <c r="C8" s="29" t="s">
        <v>93</v>
      </c>
      <c r="D8" s="26"/>
      <c r="F8" s="31"/>
      <c r="G8" s="32"/>
      <c r="H8" s="7" t="s">
        <v>86</v>
      </c>
      <c r="I8" s="13"/>
    </row>
    <row r="9" spans="1:10">
      <c r="A9" s="31"/>
      <c r="B9" s="32"/>
      <c r="C9" s="7" t="s">
        <v>94</v>
      </c>
      <c r="D9" s="13"/>
      <c r="F9" s="31"/>
      <c r="G9" s="32"/>
      <c r="H9" s="7" t="s">
        <v>87</v>
      </c>
      <c r="I9" s="13"/>
    </row>
    <row r="10" spans="1:10">
      <c r="A10" s="34"/>
      <c r="B10" s="35"/>
      <c r="C10" s="36" t="s">
        <v>95</v>
      </c>
      <c r="D10" s="16"/>
      <c r="F10" s="31"/>
      <c r="G10" s="32"/>
      <c r="H10" s="7" t="s">
        <v>88</v>
      </c>
      <c r="I10" s="13"/>
    </row>
    <row r="11" spans="1:10">
      <c r="A11" s="27" t="s">
        <v>119</v>
      </c>
      <c r="B11" s="28" t="s">
        <v>81</v>
      </c>
      <c r="C11" s="29" t="s">
        <v>90</v>
      </c>
      <c r="D11" s="26"/>
      <c r="F11" s="31"/>
      <c r="G11" s="32"/>
      <c r="H11" s="7" t="s">
        <v>89</v>
      </c>
      <c r="I11" s="16"/>
    </row>
    <row r="12" spans="1:10">
      <c r="A12" s="34"/>
      <c r="B12" s="35"/>
      <c r="C12" s="36" t="s">
        <v>91</v>
      </c>
      <c r="D12" s="16"/>
      <c r="F12" s="27" t="s">
        <v>78</v>
      </c>
      <c r="G12" s="28" t="s">
        <v>81</v>
      </c>
      <c r="H12" s="29" t="s">
        <v>90</v>
      </c>
      <c r="I12" s="26"/>
    </row>
    <row r="13" spans="1:10">
      <c r="F13" s="31"/>
      <c r="G13" s="32"/>
      <c r="H13" s="7" t="s">
        <v>91</v>
      </c>
      <c r="I13" s="13"/>
    </row>
    <row r="14" spans="1:10">
      <c r="F14" s="27" t="s">
        <v>79</v>
      </c>
      <c r="G14" s="28" t="s">
        <v>81</v>
      </c>
      <c r="H14" s="29" t="s">
        <v>82</v>
      </c>
      <c r="I14" s="26"/>
    </row>
    <row r="15" spans="1:10">
      <c r="F15" s="31"/>
      <c r="G15" s="32"/>
      <c r="H15" s="7" t="s">
        <v>83</v>
      </c>
      <c r="I15" s="13"/>
    </row>
    <row r="16" spans="1:10">
      <c r="F16" s="31"/>
      <c r="G16" s="32"/>
      <c r="H16" s="7" t="s">
        <v>84</v>
      </c>
      <c r="I16" s="13"/>
    </row>
    <row r="17" spans="6:10">
      <c r="F17" s="31"/>
      <c r="G17" s="32"/>
      <c r="H17" s="7" t="s">
        <v>85</v>
      </c>
      <c r="I17" s="16"/>
    </row>
    <row r="18" spans="6:10">
      <c r="F18" s="27" t="s">
        <v>79</v>
      </c>
      <c r="G18" s="28" t="s">
        <v>81</v>
      </c>
      <c r="H18" s="29" t="s">
        <v>86</v>
      </c>
      <c r="I18" s="26"/>
    </row>
    <row r="19" spans="6:10">
      <c r="F19" s="31"/>
      <c r="G19" s="32"/>
      <c r="H19" s="7" t="s">
        <v>87</v>
      </c>
      <c r="I19" s="13"/>
    </row>
    <row r="20" spans="6:10">
      <c r="F20" s="31"/>
      <c r="G20" s="32"/>
      <c r="H20" s="7" t="s">
        <v>88</v>
      </c>
      <c r="I20" s="13"/>
    </row>
    <row r="21" spans="6:10">
      <c r="F21" s="31"/>
      <c r="G21" s="32"/>
      <c r="H21" s="7" t="s">
        <v>92</v>
      </c>
      <c r="I21" s="13"/>
    </row>
    <row r="22" spans="6:10">
      <c r="F22" s="31"/>
      <c r="G22" s="32"/>
      <c r="H22" s="7" t="s">
        <v>93</v>
      </c>
      <c r="I22" s="13"/>
    </row>
    <row r="23" spans="6:10">
      <c r="F23" s="31"/>
      <c r="G23" s="32"/>
      <c r="H23" s="7" t="s">
        <v>94</v>
      </c>
      <c r="I23" s="13"/>
    </row>
    <row r="24" spans="6:10">
      <c r="F24" s="31"/>
      <c r="G24" s="32"/>
      <c r="H24" s="7" t="s">
        <v>95</v>
      </c>
      <c r="I24" s="16"/>
    </row>
    <row r="25" spans="6:10">
      <c r="F25" s="27" t="s">
        <v>79</v>
      </c>
      <c r="G25" s="28" t="s">
        <v>81</v>
      </c>
      <c r="H25" s="29" t="s">
        <v>90</v>
      </c>
      <c r="I25" s="26"/>
    </row>
    <row r="26" spans="6:10">
      <c r="F26" s="31"/>
      <c r="G26" s="32"/>
      <c r="H26" s="7" t="s">
        <v>91</v>
      </c>
      <c r="I26" s="16"/>
    </row>
    <row r="27" spans="6:10">
      <c r="F27" s="27" t="s">
        <v>80</v>
      </c>
      <c r="G27" s="28" t="s">
        <v>81</v>
      </c>
      <c r="H27" s="29" t="s">
        <v>82</v>
      </c>
      <c r="I27" s="26"/>
    </row>
    <row r="28" spans="6:10">
      <c r="F28" s="31"/>
      <c r="G28" s="32"/>
      <c r="H28" s="7" t="s">
        <v>83</v>
      </c>
      <c r="I28" s="13"/>
    </row>
    <row r="29" spans="6:10">
      <c r="F29" s="31"/>
      <c r="G29" s="32"/>
      <c r="H29" s="7" t="s">
        <v>84</v>
      </c>
      <c r="I29" s="13"/>
    </row>
    <row r="30" spans="6:10">
      <c r="F30" s="31"/>
      <c r="G30" s="32"/>
      <c r="H30" s="7" t="s">
        <v>85</v>
      </c>
      <c r="I30" s="13"/>
    </row>
    <row r="31" spans="6:10">
      <c r="F31" s="31"/>
      <c r="G31" s="32"/>
      <c r="H31" s="7" t="s">
        <v>86</v>
      </c>
      <c r="I31" s="13"/>
    </row>
    <row r="32" spans="6:10">
      <c r="F32" s="31"/>
      <c r="G32" s="32"/>
      <c r="H32" s="7" t="s">
        <v>87</v>
      </c>
      <c r="I32" s="13"/>
    </row>
    <row r="33" spans="6:9">
      <c r="F33" s="31"/>
      <c r="G33" s="32"/>
      <c r="H33" s="7" t="s">
        <v>88</v>
      </c>
      <c r="I33" s="13"/>
    </row>
    <row r="34" spans="6:9">
      <c r="F34" s="31"/>
      <c r="G34" s="32"/>
      <c r="H34" s="7" t="s">
        <v>92</v>
      </c>
      <c r="I34" s="13"/>
    </row>
    <row r="35" spans="6:9">
      <c r="F35" s="31"/>
      <c r="G35" s="32"/>
      <c r="H35" s="7" t="s">
        <v>93</v>
      </c>
      <c r="I35" s="13"/>
    </row>
    <row r="36" spans="6:9">
      <c r="F36" s="31"/>
      <c r="G36" s="32"/>
      <c r="H36" s="7" t="s">
        <v>94</v>
      </c>
      <c r="I36" s="13"/>
    </row>
    <row r="37" spans="6:9">
      <c r="F37" s="31"/>
      <c r="G37" s="32"/>
      <c r="H37" s="7" t="s">
        <v>95</v>
      </c>
      <c r="I37" s="13"/>
    </row>
    <row r="38" spans="6:9">
      <c r="F38" s="31"/>
      <c r="G38" s="32"/>
      <c r="H38" s="7" t="s">
        <v>90</v>
      </c>
      <c r="I38" s="13"/>
    </row>
    <row r="39" spans="6:9">
      <c r="F39" s="34"/>
      <c r="G39" s="35"/>
      <c r="H39" s="36" t="s">
        <v>91</v>
      </c>
      <c r="I39" s="16"/>
    </row>
  </sheetData>
  <mergeCells count="34">
    <mergeCell ref="D11:D12"/>
    <mergeCell ref="A6:A7"/>
    <mergeCell ref="B6:B7"/>
    <mergeCell ref="D6:D7"/>
    <mergeCell ref="D4:D5"/>
    <mergeCell ref="A8:A10"/>
    <mergeCell ref="B8:B10"/>
    <mergeCell ref="D8:D10"/>
    <mergeCell ref="F25:F26"/>
    <mergeCell ref="G25:G26"/>
    <mergeCell ref="I25:I26"/>
    <mergeCell ref="F27:F39"/>
    <mergeCell ref="G27:G39"/>
    <mergeCell ref="I27:I39"/>
    <mergeCell ref="G12:G13"/>
    <mergeCell ref="I12:I13"/>
    <mergeCell ref="F14:F17"/>
    <mergeCell ref="G14:G17"/>
    <mergeCell ref="I14:I17"/>
    <mergeCell ref="A2:D2"/>
    <mergeCell ref="F1:I1"/>
    <mergeCell ref="F2:I2"/>
    <mergeCell ref="F4:F11"/>
    <mergeCell ref="G4:G11"/>
    <mergeCell ref="I4:I11"/>
    <mergeCell ref="F12:F13"/>
    <mergeCell ref="A1:D1"/>
    <mergeCell ref="A4:A5"/>
    <mergeCell ref="B4:B5"/>
    <mergeCell ref="F18:F24"/>
    <mergeCell ref="G18:G24"/>
    <mergeCell ref="I18:I24"/>
    <mergeCell ref="A11:A12"/>
    <mergeCell ref="B11:B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基础数据</vt:lpstr>
      <vt:lpstr>课表</vt:lpstr>
      <vt:lpstr>教师清单</vt:lpstr>
      <vt:lpstr>班级清单</vt:lpstr>
      <vt:lpstr>科目清单</vt:lpstr>
      <vt:lpstr>教室清单</vt:lpstr>
      <vt:lpstr>课程计划</vt:lpstr>
      <vt:lpstr>约束配置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Shuhai ZHANG (20717393)</dc:creator>
  <cp:lastModifiedBy>Shuhai ZHANG (20717393)</cp:lastModifiedBy>
  <dcterms:created xsi:type="dcterms:W3CDTF">2026-07-22T04:04:27Z</dcterms:created>
  <dcterms:modified xsi:type="dcterms:W3CDTF">2026-07-25T13:22:12Z</dcterms:modified>
</cp:coreProperties>
</file>